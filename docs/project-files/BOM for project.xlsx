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eenjets-my.sharepoint.com/personal/harrison_berill_greenjets_com/Documents/Documents/"/>
    </mc:Choice>
  </mc:AlternateContent>
  <xr:revisionPtr revIDLastSave="0" documentId="8_{8380293C-7507-4835-8EB3-E067286BB71E}" xr6:coauthVersionLast="47" xr6:coauthVersionMax="47" xr10:uidLastSave="{00000000-0000-0000-0000-000000000000}"/>
  <bookViews>
    <workbookView xWindow="11424" yWindow="0" windowWidth="11712" windowHeight="13776" xr2:uid="{BD1F21D4-AB52-4051-BD08-B6DB77E01E7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8" i="1" l="1"/>
  <c r="F11" i="1"/>
</calcChain>
</file>

<file path=xl/sharedStrings.xml><?xml version="1.0" encoding="utf-8"?>
<sst xmlns="http://schemas.openxmlformats.org/spreadsheetml/2006/main" count="82" uniqueCount="62">
  <si>
    <t>Name</t>
  </si>
  <si>
    <t>Description</t>
  </si>
  <si>
    <t>Qty</t>
  </si>
  <si>
    <t>unit cost (No VAT)</t>
  </si>
  <si>
    <t>delivery</t>
  </si>
  <si>
    <t>cost</t>
  </si>
  <si>
    <t>link</t>
  </si>
  <si>
    <t>datasheet</t>
  </si>
  <si>
    <t>.</t>
  </si>
  <si>
    <t>ESP32-S3-DEV-KIT-NXRX</t>
  </si>
  <si>
    <t>32 bit Microcontroller</t>
  </si>
  <si>
    <t>https://www.amazon.co.uk/Waveshare-Development-ESP32-S3-WROOM-1-Processor-Connector/dp/B0DLWGVXCS</t>
  </si>
  <si>
    <t>https://docs.waveshare.com/ESP32-S3-DEV-KIT-N8R8</t>
  </si>
  <si>
    <t>Dsub coupler</t>
  </si>
  <si>
    <t>Dsub to dsub</t>
  </si>
  <si>
    <t>37 Pin Dsub to Dsub males</t>
  </si>
  <si>
    <t>https://uk.rs-online.com/web/p/serial-cables/2834340</t>
  </si>
  <si>
    <t>https://docs.rs-online.com/03de/A700000010982135.pdf</t>
  </si>
  <si>
    <t>Dsub connectors</t>
  </si>
  <si>
    <t>37 Pin male</t>
  </si>
  <si>
    <t>https://www.soselectronic.com/en-gb/products/connfly/dmr-37-f-28723</t>
  </si>
  <si>
    <t>https://cdn.soselectronic.com/productdata/ed/38/45a2ef55/dmr-09-f.pdf?_gl=1*1az8lbp*_up*MQ..*_ga*NTY0NDcwMzI0LjE3ODM2OTM3MjU.*_ga_8VNP1FEREL*czE3ODM2OTM3MjUkbzEkZzAkdDE3ODM2OTM3MjUkajYwJGwwJGgxMzY0MjU4ODg0*_ga_GZXH931HFF*czE3ODM2OTM3MjUkbzEkZzAkdDE3ODM2OTM3MjUkajYwJGwwJGgzNDEyNTI2Mw..</t>
  </si>
  <si>
    <t xml:space="preserve">2.8" LCD using SPI </t>
  </si>
  <si>
    <t>https://uk.rs-online.com/web/p/display-development-tools/1245469</t>
  </si>
  <si>
    <t>https://docs.rs-online.com/4ddc/0900766b81534372.pdf</t>
  </si>
  <si>
    <t>MicroSD Breakout</t>
  </si>
  <si>
    <t>https://thepihut.com/products/microsd-breakout</t>
  </si>
  <si>
    <t>https://github.com/adafruit/MicroSD-breakout-board</t>
  </si>
  <si>
    <t>CD74HC4067 Module</t>
  </si>
  <si>
    <t>16 bit de/multiplexer 10Pcs</t>
  </si>
  <si>
    <t>https://38-3d.co.uk/products/cd74hc4067-analogue-digital-multiplexer-module</t>
  </si>
  <si>
    <t>https://www.ti.com/lit/ds/symlink/cd74hc4067.pdf</t>
  </si>
  <si>
    <t>CD74HC4067M96</t>
  </si>
  <si>
    <t>https://uk.rs-online.com/web/p/multiplexer-demultiplexer-ics/6622577</t>
  </si>
  <si>
    <t>Micro SD card</t>
  </si>
  <si>
    <t>Micro SD card  8GB</t>
  </si>
  <si>
    <t>https://uk.rs-online.com/web/p/sd-cards/2883799</t>
  </si>
  <si>
    <t>https://docs.rs-online.com/0636/A700000011340737.pdf</t>
  </si>
  <si>
    <t>Breadboards</t>
  </si>
  <si>
    <t>830 Points 3 Pcs</t>
  </si>
  <si>
    <t>https://amazon.co.uk/dp/B01M0QJTI5</t>
  </si>
  <si>
    <t>Button</t>
  </si>
  <si>
    <t xml:space="preserve">30mm Red button from laszlo </t>
  </si>
  <si>
    <t>Jumperwires</t>
  </si>
  <si>
    <t xml:space="preserve">Male to male  </t>
  </si>
  <si>
    <t>https://thepihut.com/products/premium-male-male-jumper-wires-20-x-6-150mm</t>
  </si>
  <si>
    <t>USB C cable</t>
  </si>
  <si>
    <t>https://cpc.farnell.com/pro-signal/psg91477/lead-usb30-a-male-usb-type-c-gen-1-1m/dp/CS30873</t>
  </si>
  <si>
    <t>USB Plug</t>
  </si>
  <si>
    <t>https://amazon.co.uk/dp/B0BV65Y6B2</t>
  </si>
  <si>
    <t>Female pin headers</t>
  </si>
  <si>
    <t>Female pin headers(50)</t>
  </si>
  <si>
    <t>https://uk.rs-online.com/web/p/pcb-headers/2837928</t>
  </si>
  <si>
    <t>https://docs.rs-online.com/03ef/A700000011064526.pdf</t>
  </si>
  <si>
    <t>https://www.fruugo.co.uk/high-speed-data-transfer-cord-db37-data-cable-wire-d-sub-37pin-connectors-line/p-352918890-768284818?language=en</t>
  </si>
  <si>
    <t>M/M Dsub connector 0.2m</t>
  </si>
  <si>
    <t>High Speed Data Transfer Cord DB37 Data Cable Wire D-Sub 37Pin</t>
  </si>
  <si>
    <t>Resistive Touch Screen Display Module</t>
  </si>
  <si>
    <t>16 bit de/multiplexer 1Pcs</t>
  </si>
  <si>
    <t>Female to female  37 pins</t>
  </si>
  <si>
    <t>https://uk.rs-online.com/web/p/d-sub-connectors/1007822?cm_mmc=UK-PLA-DS3A-_-google-_-CSS_UK_EN_PMAX_DLG-_--_-1007822&amp;matchtype=&amp;&amp;gclsrc=aw.ds&amp;gad_source=1&amp;gad_campaignid=23801851129&amp;gbraid=0AAAAADkeWNPCdh1twLUVp5rq1XMCx1Iot&amp;gclid=EAIaIQobChMI4Ni53MvRlQMVSZFQBh2ZoSglEAQYAiABEgISGvD_BwE</t>
  </si>
  <si>
    <t>https://docs.rs-online.com/b35c/A700000014553755.pdf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</si>
</sst>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sz val="11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rgb="FF21252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1" fillId="0" borderId="0" xfId="1" applyFill="1" applyBorder="1" applyAlignment="1"/>
    <xf numFmtId="0" fontId="2" fillId="0" borderId="0" xfId="0" applyFont="1"/>
    <xf numFmtId="0" fontId="4" fillId="0" borderId="0" xfId="0" applyFont="1"/>
    <xf numFmtId="0" fontId="3" fillId="0" borderId="0" xfId="0" applyFont="1"/>
    <xf numFmtId="0" fontId="6" fillId="0" borderId="0" xfId="0" applyFont="1" applyAlignment="1">
      <alignment horizontal="left" vertical="center"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rs-online.com/03de/A700000010982135.pdf" TargetMode="External"/><Relationship Id="rId13" Type="http://schemas.openxmlformats.org/officeDocument/2006/relationships/hyperlink" Target="https://cpc.farnell.com/pro-signal/psg91477/lead-usb30-a-male-usb-type-c-gen-1-1m/dp/CS30873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uk.rs-online.com/web/p/serial-cables/2834340" TargetMode="External"/><Relationship Id="rId7" Type="http://schemas.openxmlformats.org/officeDocument/2006/relationships/hyperlink" Target="https://www.soselectronic.com/en-gb/products/connfly/dmr-37-f-28723" TargetMode="External"/><Relationship Id="rId12" Type="http://schemas.openxmlformats.org/officeDocument/2006/relationships/hyperlink" Target="https://uk.rs-online.com/web/p/sd-cards/2883799" TargetMode="External"/><Relationship Id="rId17" Type="http://schemas.openxmlformats.org/officeDocument/2006/relationships/hyperlink" Target="https://docs.rs-online.com/b35c/A700000014553755.pdf" TargetMode="External"/><Relationship Id="rId2" Type="http://schemas.openxmlformats.org/officeDocument/2006/relationships/hyperlink" Target="https://docs.waveshare.com/ESP32-S3-DEV-KIT-N8R8" TargetMode="External"/><Relationship Id="rId16" Type="http://schemas.openxmlformats.org/officeDocument/2006/relationships/hyperlink" Target="https://uk.rs-online.com/web/p/multiplexer-demultiplexer-ics/6622577" TargetMode="External"/><Relationship Id="rId1" Type="http://schemas.openxmlformats.org/officeDocument/2006/relationships/hyperlink" Target="https://www.amazon.co.uk/Waveshare-Development-ESP32-S3-WROOM-1-Processor-Connector/dp/B0DLWGVXCS" TargetMode="External"/><Relationship Id="rId6" Type="http://schemas.openxmlformats.org/officeDocument/2006/relationships/hyperlink" Target="https://uk.rs-online.com/web/p/d-sub-connectors/1007822?cm_mmc=UK-PLA-DS3A-_-google-_-CSS_UK_EN_PMAX_DLG-_--_-1007822&amp;matchtype=&amp;&amp;gclsrc=aw.ds&amp;gad_source=1&amp;gad_campaignid=23801851129&amp;gbraid=0AAAAADkeWNPCdh1twLUVp5rq1XMCx1Iot&amp;gclid=EAIaIQobChMI4Ni53MvRlQMVSZFQBh2ZoSglEAQYAiABEgISGvD_BwE" TargetMode="External"/><Relationship Id="rId11" Type="http://schemas.openxmlformats.org/officeDocument/2006/relationships/hyperlink" Target="https://github.com/adafruit/MicroSD-breakout-board" TargetMode="External"/><Relationship Id="rId5" Type="http://schemas.openxmlformats.org/officeDocument/2006/relationships/hyperlink" Target="https://amazon.co.uk/dp/B01M0QJTI5" TargetMode="External"/><Relationship Id="rId15" Type="http://schemas.openxmlformats.org/officeDocument/2006/relationships/hyperlink" Target="https://thepihut.com/products/microsd-breakout" TargetMode="External"/><Relationship Id="rId10" Type="http://schemas.openxmlformats.org/officeDocument/2006/relationships/hyperlink" Target="https://uk.rs-online.com/web/p/display-development-tools/1245469" TargetMode="External"/><Relationship Id="rId4" Type="http://schemas.openxmlformats.org/officeDocument/2006/relationships/hyperlink" Target="https://38-3d.co.uk/products/cd74hc4067-analogue-digital-multiplexer-module" TargetMode="External"/><Relationship Id="rId9" Type="http://schemas.openxmlformats.org/officeDocument/2006/relationships/hyperlink" Target="https://cdn.soselectronic.com/productdata/ed/38/45a2ef55/dmr-09-f.pdf?_gl=1*1az8lbp*_up*MQ..*_ga*NTY0NDcwMzI0LjE3ODM2OTM3MjU.*_ga_8VNP1FEREL*czE3ODM2OTM3MjUkbzEkZzAkdDE3ODM2OTM3MjUkajYwJGwwJGgxMzY0MjU4ODg0*_ga_GZXH931HFF*czE3ODM2OTM3MjUkbzEkZzAkdDE3ODM2OTM3MjUkajYwJGwwJGgzNDEyNTI2Mw.." TargetMode="External"/><Relationship Id="rId14" Type="http://schemas.openxmlformats.org/officeDocument/2006/relationships/hyperlink" Target="https://www.fruugo.co.uk/high-speed-data-transfer-cord-db37-data-cable-wire-d-sub-37pin-connectors-line/p-352918890-768284818?language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2B6C9-EBCF-47A0-AB35-B4910CD6EFE7}">
  <dimension ref="A1:I18"/>
  <sheetViews>
    <sheetView tabSelected="1" topLeftCell="B1" workbookViewId="0">
      <selection activeCell="I4" sqref="I4"/>
    </sheetView>
  </sheetViews>
  <sheetFormatPr defaultRowHeight="14.4" x14ac:dyDescent="0.3"/>
  <cols>
    <col min="1" max="1" width="29.5546875" customWidth="1"/>
    <col min="2" max="2" width="24.44140625" customWidth="1"/>
    <col min="3" max="3" width="9.88671875" customWidth="1"/>
    <col min="4" max="4" width="15.109375" bestFit="1" customWidth="1"/>
    <col min="7" max="7" width="11.4414062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3" t="s">
        <v>9</v>
      </c>
      <c r="B2" s="3" t="s">
        <v>10</v>
      </c>
      <c r="C2" s="3">
        <v>1</v>
      </c>
      <c r="D2" s="3">
        <v>15.35</v>
      </c>
      <c r="E2" s="3">
        <v>0</v>
      </c>
      <c r="F2" s="3">
        <v>15.35</v>
      </c>
      <c r="G2" s="2" t="s">
        <v>11</v>
      </c>
      <c r="H2" s="2" t="s">
        <v>12</v>
      </c>
      <c r="I2" s="3" t="s">
        <v>8</v>
      </c>
    </row>
    <row r="3" spans="1:9" x14ac:dyDescent="0.3">
      <c r="A3" s="4" t="s">
        <v>13</v>
      </c>
      <c r="B3" s="4" t="s">
        <v>59</v>
      </c>
      <c r="C3" s="4">
        <v>8</v>
      </c>
      <c r="D3" s="4">
        <v>2.11</v>
      </c>
      <c r="E3" s="4"/>
      <c r="F3" s="3">
        <v>16.88</v>
      </c>
      <c r="G3" s="1" t="s">
        <v>60</v>
      </c>
      <c r="H3" s="1" t="s">
        <v>61</v>
      </c>
      <c r="I3" s="4" t="s">
        <v>8</v>
      </c>
    </row>
    <row r="4" spans="1:9" x14ac:dyDescent="0.3">
      <c r="A4" s="4" t="s">
        <v>14</v>
      </c>
      <c r="B4" s="4" t="s">
        <v>15</v>
      </c>
      <c r="C4" s="4">
        <v>4</v>
      </c>
      <c r="D4" s="3">
        <v>8.66</v>
      </c>
      <c r="E4" s="3"/>
      <c r="F4" s="3">
        <v>34.64</v>
      </c>
      <c r="G4" s="2" t="s">
        <v>16</v>
      </c>
      <c r="H4" s="1" t="s">
        <v>17</v>
      </c>
      <c r="I4" s="3" t="s">
        <v>8</v>
      </c>
    </row>
    <row r="5" spans="1:9" x14ac:dyDescent="0.3">
      <c r="A5" s="3" t="s">
        <v>18</v>
      </c>
      <c r="B5" s="3" t="s">
        <v>19</v>
      </c>
      <c r="C5" s="4">
        <v>4</v>
      </c>
      <c r="D5" s="3">
        <v>1.1599999999999999</v>
      </c>
      <c r="E5" s="3"/>
      <c r="F5" s="3">
        <v>4.6399999999999997</v>
      </c>
      <c r="G5" s="1" t="s">
        <v>20</v>
      </c>
      <c r="H5" s="1" t="s">
        <v>21</v>
      </c>
      <c r="I5" s="3" t="s">
        <v>8</v>
      </c>
    </row>
    <row r="6" spans="1:9" x14ac:dyDescent="0.3">
      <c r="A6" s="3" t="s">
        <v>57</v>
      </c>
      <c r="B6" s="3" t="s">
        <v>22</v>
      </c>
      <c r="C6" s="3">
        <v>1</v>
      </c>
      <c r="D6" s="3">
        <v>23.13</v>
      </c>
      <c r="E6" s="3">
        <v>0</v>
      </c>
      <c r="F6" s="3">
        <v>23.13</v>
      </c>
      <c r="G6" s="1" t="s">
        <v>23</v>
      </c>
      <c r="H6" s="3" t="s">
        <v>24</v>
      </c>
      <c r="I6" s="3" t="s">
        <v>8</v>
      </c>
    </row>
    <row r="7" spans="1:9" x14ac:dyDescent="0.3">
      <c r="A7" s="3" t="s">
        <v>25</v>
      </c>
      <c r="B7" s="3" t="s">
        <v>25</v>
      </c>
      <c r="C7" s="3">
        <v>1</v>
      </c>
      <c r="D7" s="3">
        <v>3.3</v>
      </c>
      <c r="E7" s="3"/>
      <c r="F7" s="3">
        <v>3.3</v>
      </c>
      <c r="G7" s="1" t="s">
        <v>26</v>
      </c>
      <c r="H7" s="1" t="s">
        <v>27</v>
      </c>
      <c r="I7" s="3" t="s">
        <v>8</v>
      </c>
    </row>
    <row r="8" spans="1:9" x14ac:dyDescent="0.3">
      <c r="A8" s="3" t="s">
        <v>28</v>
      </c>
      <c r="B8" s="3" t="s">
        <v>58</v>
      </c>
      <c r="C8" s="3">
        <v>8</v>
      </c>
      <c r="D8" s="3">
        <v>2.99</v>
      </c>
      <c r="E8" s="3">
        <v>0</v>
      </c>
      <c r="F8" s="3">
        <v>23.92</v>
      </c>
      <c r="G8" s="2" t="s">
        <v>30</v>
      </c>
      <c r="H8" s="3" t="s">
        <v>31</v>
      </c>
      <c r="I8" s="3" t="s">
        <v>8</v>
      </c>
    </row>
    <row r="9" spans="1:9" x14ac:dyDescent="0.3">
      <c r="A9" s="3" t="s">
        <v>32</v>
      </c>
      <c r="B9" s="3" t="s">
        <v>29</v>
      </c>
      <c r="C9" s="3">
        <v>1</v>
      </c>
      <c r="D9" s="3">
        <v>4.21</v>
      </c>
      <c r="E9" s="3"/>
      <c r="F9" s="3">
        <v>4.21</v>
      </c>
      <c r="G9" s="1" t="s">
        <v>33</v>
      </c>
      <c r="H9" s="3" t="s">
        <v>31</v>
      </c>
      <c r="I9" s="3" t="s">
        <v>8</v>
      </c>
    </row>
    <row r="10" spans="1:9" x14ac:dyDescent="0.3">
      <c r="A10" s="3" t="s">
        <v>34</v>
      </c>
      <c r="B10" s="3" t="s">
        <v>35</v>
      </c>
      <c r="C10" s="3">
        <v>3</v>
      </c>
      <c r="D10" s="3">
        <v>9.24</v>
      </c>
      <c r="E10" s="3">
        <v>0</v>
      </c>
      <c r="F10" s="3">
        <v>27.72</v>
      </c>
      <c r="G10" s="1" t="s">
        <v>36</v>
      </c>
      <c r="H10" s="3" t="s">
        <v>37</v>
      </c>
      <c r="I10" s="3" t="s">
        <v>8</v>
      </c>
    </row>
    <row r="11" spans="1:9" x14ac:dyDescent="0.3">
      <c r="A11" s="3" t="s">
        <v>38</v>
      </c>
      <c r="B11" s="3" t="s">
        <v>39</v>
      </c>
      <c r="C11" s="3">
        <v>2</v>
      </c>
      <c r="D11" s="3">
        <v>8.0399999999999991</v>
      </c>
      <c r="E11" s="3"/>
      <c r="F11" s="3">
        <f>C11*D11</f>
        <v>16.079999999999998</v>
      </c>
      <c r="G11" s="2" t="s">
        <v>40</v>
      </c>
      <c r="H11" s="5"/>
      <c r="I11" s="3" t="s">
        <v>8</v>
      </c>
    </row>
    <row r="12" spans="1:9" x14ac:dyDescent="0.3">
      <c r="A12" s="3" t="s">
        <v>41</v>
      </c>
      <c r="B12" s="3" t="s">
        <v>42</v>
      </c>
      <c r="C12" s="3">
        <v>1</v>
      </c>
      <c r="D12" s="3">
        <v>0</v>
      </c>
      <c r="E12" s="3">
        <v>0</v>
      </c>
      <c r="F12" s="3">
        <v>0</v>
      </c>
      <c r="G12" s="3"/>
      <c r="H12" s="3"/>
      <c r="I12" s="3" t="s">
        <v>8</v>
      </c>
    </row>
    <row r="13" spans="1:9" x14ac:dyDescent="0.3">
      <c r="A13" s="3" t="s">
        <v>43</v>
      </c>
      <c r="B13" s="3" t="s">
        <v>44</v>
      </c>
      <c r="C13" s="3">
        <v>3</v>
      </c>
      <c r="D13" s="3">
        <v>1.7</v>
      </c>
      <c r="E13" s="3"/>
      <c r="F13" s="3">
        <v>5.0999999999999996</v>
      </c>
      <c r="G13" s="3" t="s">
        <v>45</v>
      </c>
      <c r="H13" s="3"/>
      <c r="I13" s="3" t="s">
        <v>8</v>
      </c>
    </row>
    <row r="14" spans="1:9" x14ac:dyDescent="0.3">
      <c r="A14" s="3" t="s">
        <v>46</v>
      </c>
      <c r="B14" s="3" t="s">
        <v>46</v>
      </c>
      <c r="C14" s="3">
        <v>1</v>
      </c>
      <c r="D14" s="3">
        <v>4.42</v>
      </c>
      <c r="E14" s="3"/>
      <c r="F14" s="3">
        <v>4.42</v>
      </c>
      <c r="G14" s="1" t="s">
        <v>47</v>
      </c>
      <c r="H14" s="3"/>
      <c r="I14" s="3" t="s">
        <v>8</v>
      </c>
    </row>
    <row r="15" spans="1:9" x14ac:dyDescent="0.3">
      <c r="A15" s="3" t="s">
        <v>48</v>
      </c>
      <c r="B15" s="3" t="s">
        <v>48</v>
      </c>
      <c r="C15" s="3">
        <v>1</v>
      </c>
      <c r="D15" s="3">
        <v>5.99</v>
      </c>
      <c r="E15" s="3"/>
      <c r="F15" s="3">
        <v>5.99</v>
      </c>
      <c r="G15" s="3" t="s">
        <v>49</v>
      </c>
      <c r="H15" s="3"/>
      <c r="I15" s="3" t="s">
        <v>8</v>
      </c>
    </row>
    <row r="16" spans="1:9" x14ac:dyDescent="0.3">
      <c r="A16" s="3" t="s">
        <v>50</v>
      </c>
      <c r="B16" s="3" t="s">
        <v>51</v>
      </c>
      <c r="C16" s="3">
        <v>1</v>
      </c>
      <c r="D16" s="3">
        <v>5.3</v>
      </c>
      <c r="E16" s="3"/>
      <c r="F16" s="3">
        <v>5.3</v>
      </c>
      <c r="G16" s="3" t="s">
        <v>52</v>
      </c>
      <c r="H16" s="3" t="s">
        <v>53</v>
      </c>
      <c r="I16" s="3" t="s">
        <v>8</v>
      </c>
    </row>
    <row r="17" spans="1:8" ht="28.8" x14ac:dyDescent="0.3">
      <c r="A17" s="6" t="s">
        <v>56</v>
      </c>
      <c r="B17" s="3" t="s">
        <v>55</v>
      </c>
      <c r="C17" s="3">
        <v>4</v>
      </c>
      <c r="D17" s="3">
        <v>5.95</v>
      </c>
      <c r="G17" s="1" t="s">
        <v>54</v>
      </c>
      <c r="H17" t="s">
        <v>8</v>
      </c>
    </row>
    <row r="18" spans="1:8" x14ac:dyDescent="0.3">
      <c r="A18" s="1"/>
      <c r="F18" s="7">
        <f>SUM(F2:F17)</f>
        <v>190.68</v>
      </c>
    </row>
  </sheetData>
  <hyperlinks>
    <hyperlink ref="G2" r:id="rId1" xr:uid="{959B4F80-95A3-4815-8FF0-656094F963E3}"/>
    <hyperlink ref="H2" r:id="rId2" xr:uid="{2C38A0D4-2CA9-4501-BA3C-68872D3A666A}"/>
    <hyperlink ref="G4" r:id="rId3" xr:uid="{A2B358DD-E345-431A-9D5B-A3D17D29ACD5}"/>
    <hyperlink ref="G8" r:id="rId4" xr:uid="{2D23ED7B-3D69-4570-9F23-C7C13EDF42ED}"/>
    <hyperlink ref="G11" r:id="rId5" xr:uid="{6FDE8DF1-4A9D-424A-BA83-A6B1CB945D54}"/>
    <hyperlink ref="G3" r:id="rId6" display="https://uk.rs-online.com/web/p/d-sub-connectors/1007822?cm_mmc=UK-PLA-DS3A-_-google-_-CSS_UK_EN_PMAX_DLG-_--_-1007822&amp;matchtype=&amp;&amp;gclsrc=aw.ds&amp;gad_source=1&amp;gad_campaignid=23801851129&amp;gbraid=0AAAAADkeWNPCdh1twLUVp5rq1XMCx1Iot&amp;gclid=EAIaIQobChMI4Ni53MvRlQMVSZFQBh2ZoSglEAQYAiABEgISGvD_BwE" xr:uid="{810395CA-1787-4E68-B80F-9BBC5F53FC64}"/>
    <hyperlink ref="G5" r:id="rId7" xr:uid="{4AC26CC4-E42D-413B-A61C-0DA24514FD40}"/>
    <hyperlink ref="H4" r:id="rId8" xr:uid="{6F0B4C6C-3F53-4744-A976-3F9FAA3BB380}"/>
    <hyperlink ref="H5" r:id="rId9" display="https://cdn.soselectronic.com/productdata/ed/38/45a2ef55/dmr-09-f.pdf?_gl=1*1az8lbp*_up*MQ..*_ga*NTY0NDcwMzI0LjE3ODM2OTM3MjU.*_ga_8VNP1FEREL*czE3ODM2OTM3MjUkbzEkZzAkdDE3ODM2OTM3MjUkajYwJGwwJGgxMzY0MjU4ODg0*_ga_GZXH931HFF*czE3ODM2OTM3MjUkbzEkZzAkdDE3ODM2OTM3MjUkajYwJGwwJGgzNDEyNTI2Mw.." xr:uid="{64625984-F74C-4F8A-9D81-E46312237B14}"/>
    <hyperlink ref="G6" r:id="rId10" xr:uid="{9A823D1F-08BB-4A26-B18B-27A340A7D3A0}"/>
    <hyperlink ref="H7" r:id="rId11" xr:uid="{39CD7B6F-2F39-4203-A605-2A1EAEB8AAA2}"/>
    <hyperlink ref="G10" r:id="rId12" xr:uid="{32A40CCD-2042-45A7-A610-47C41DA46E39}"/>
    <hyperlink ref="G14" r:id="rId13" xr:uid="{D2C2C7ED-9B93-4FC2-923C-83DB7E9EBEF0}"/>
    <hyperlink ref="G17" r:id="rId14" xr:uid="{0F82825F-8C8B-49CB-89EF-F29D6BF9583E}"/>
    <hyperlink ref="G7" r:id="rId15" xr:uid="{F2E1F393-7EA2-4E73-87E4-2D7677EF2916}"/>
    <hyperlink ref="G9" r:id="rId16" xr:uid="{27F217E2-2620-4574-A078-DF9BF65895E7}"/>
    <hyperlink ref="H3" r:id="rId17" xr:uid="{909D2DCF-49ED-449B-9608-AB99954E9AE8}"/>
  </hyperlinks>
  <pageMargins left="0.7" right="0.7" top="0.75" bottom="0.75" header="0.3" footer="0.3"/>
  <pageSetup orientation="portrait"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56d76f-8aff-4ad1-818d-c43ba0c7aca1" xsi:nil="true"/>
    <lcf76f155ced4ddcb4097134ff3c332f xmlns="3f830c94-f664-4e3c-af2c-c66e0a0a659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6A75045115D244A6ACBE0E38BE11A6" ma:contentTypeVersion="10" ma:contentTypeDescription="Create a new document." ma:contentTypeScope="" ma:versionID="0b0c632f1fe0446fddc01bd6039199e8">
  <xsd:schema xmlns:xsd="http://www.w3.org/2001/XMLSchema" xmlns:xs="http://www.w3.org/2001/XMLSchema" xmlns:p="http://schemas.microsoft.com/office/2006/metadata/properties" xmlns:ns2="3f830c94-f664-4e3c-af2c-c66e0a0a6590" xmlns:ns3="8756d76f-8aff-4ad1-818d-c43ba0c7aca1" targetNamespace="http://schemas.microsoft.com/office/2006/metadata/properties" ma:root="true" ma:fieldsID="24b592362146120ff8ae27e5fb13fdbe" ns2:_="" ns3:_="">
    <xsd:import namespace="3f830c94-f664-4e3c-af2c-c66e0a0a6590"/>
    <xsd:import namespace="8756d76f-8aff-4ad1-818d-c43ba0c7ac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830c94-f664-4e3c-af2c-c66e0a0a65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3953fee-d4a6-4a46-b700-c1d69e9685f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56d76f-8aff-4ad1-818d-c43ba0c7ac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5c0294-9a1a-4bd1-ba0e-fd4b6e8fa3f7}" ma:internalName="TaxCatchAll" ma:showField="CatchAllData" ma:web="8756d76f-8aff-4ad1-818d-c43ba0c7ac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E0DB25-7F4B-4923-ADF9-2DBD9AF83F2C}">
  <ds:schemaRefs>
    <ds:schemaRef ds:uri="8756d76f-8aff-4ad1-818d-c43ba0c7aca1"/>
    <ds:schemaRef ds:uri="3f830c94-f664-4e3c-af2c-c66e0a0a6590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032CD5E-21CE-459E-A17C-96FAF106F66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4C1927-2B75-4AE5-918D-9BA1CDE805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830c94-f664-4e3c-af2c-c66e0a0a6590"/>
    <ds:schemaRef ds:uri="8756d76f-8aff-4ad1-818d-c43ba0c7ac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573822e-ab4a-4a1a-8a31-f618ea14244d}" enabled="0" method="" siteId="{c573822e-ab4a-4a1a-8a31-f618ea14244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Seiler</dc:creator>
  <cp:keywords/>
  <dc:description/>
  <cp:lastModifiedBy>Harrison Berill</cp:lastModifiedBy>
  <cp:revision/>
  <dcterms:created xsi:type="dcterms:W3CDTF">2026-07-09T07:42:11Z</dcterms:created>
  <dcterms:modified xsi:type="dcterms:W3CDTF">2026-07-14T07:06:22Z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0x010100F96A75045115D244A6ACBE0E38BE11A6</vt:lpwstr>
  </property>
  <property fmtid="{D5CDD505-2E9C-101B-9397-08002B2CF9AE}" pid="3" name="MediaServiceImageTags">
    <vt:lpwstr/>
  </property>
</Properties>
</file>